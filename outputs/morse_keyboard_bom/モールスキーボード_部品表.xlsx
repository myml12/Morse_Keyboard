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3ed3526a3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品表" sheetId="1" r:id="Rb59d23f382c2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7F7F7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200" fontId="0" fillId="0" borderId="3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20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200" fontId="4" fillId="5" borderId="13" xfId="0" applyNumberFormat="1" applyFont="1" applyFill="1" applyBorder="1" applyAlignment="1">
      <x:alignment vertical="center"/>
    </x:xf>
    <x:xf numFmtId="200" fontId="4" fillId="5" borderId="13" xfId="0" applyNumberFormat="1" applyFont="1" applyFill="1" applyBorder="1" applyAlignment="1">
      <x:alignment horizontal="right" vertical="center"/>
    </x:xf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b28c350374cc9" /><Relationship Type="http://schemas.openxmlformats.org/officeDocument/2006/relationships/theme" Target="/xl/theme/theme1.xml" Id="R5584dfcc46414c22" /><Relationship Type="http://schemas.openxmlformats.org/officeDocument/2006/relationships/sharedStrings" Target="/xl/sharedStrings.xml" Id="Rebff53add8184b07" /><Relationship Type="http://schemas.openxmlformats.org/officeDocument/2006/relationships/worksheet" Target="/xl/worksheets/sheet1.xml" Id="Rb59d23f382c244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12" hidden="0" customWidth="1"/>
    <x:col min="4" max="4" width="33" hidden="0" customWidth="1"/>
    <x:col min="5" max="5" width="10" hidden="0" customWidth="1"/>
    <x:col min="6" max="6" width="15" hidden="0" customWidth="1"/>
    <x:col min="7" max="7" width="10" hidden="0" customWidth="1"/>
    <x:col min="8" max="8" width="15" hidden="0" customWidth="1"/>
    <x:col min="9" max="9" width="15" hidden="0" customWidth="1"/>
    <x:col min="10" max="10" width="50" hidden="0" customWidth="1"/>
  </x:cols>
  <x:sheetData>
    <x:row r="1" ht="28" customHeight="1">
      <x:c r="A1" s="4" t="str">
        <x:v>モールスキーボード　部品表（秋月電子価格参照）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7" t="str">
        <x:v>価格確認日：2026-07-21　｜　金額は税込　｜　送料・PCB製造費・筐体は含まない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3" t="str">
        <x:v>区分</x:v>
      </x:c>
      <x:c r="B4" s="13" t="str">
        <x:v>部品名</x:v>
      </x:c>
      <x:c r="C4" s="13" t="str">
        <x:v>販売コード</x:v>
      </x:c>
      <x:c r="D4" s="13" t="str">
        <x:v>型番・仕様</x:v>
      </x:c>
      <x:c r="E4" s="13" t="str">
        <x:v>実装数</x:v>
      </x:c>
      <x:c r="F4" s="13" t="str">
        <x:v>購入単位</x:v>
      </x:c>
      <x:c r="G4" s="13" t="str">
        <x:v>購入数</x:v>
      </x:c>
      <x:c r="H4" s="13" t="str">
        <x:v>単価（税込）</x:v>
      </x:c>
      <x:c r="I4" s="13" t="str">
        <x:v>小計（税込）</x:v>
      </x:c>
      <x:c r="J4" s="13" t="str">
        <x:v>秋月電子 商品ページ</x:v>
      </x:c>
    </x:row>
    <x:row r="5" ht="38" customHeight="1">
      <x:c r="A5" s="32" t="str">
        <x:v>主要部品</x:v>
      </x:c>
      <x:c r="B5" s="33" t="str">
        <x:v>0.96インチ 128×64ドット有機ELディスプレイ（OLED） 白色</x:v>
      </x:c>
      <x:c r="C5" s="33" t="str">
        <x:v>112031</x:v>
      </x:c>
      <x:c r="D5" s="33" t="str">
        <x:v>SSD1306／I2C／白色</x:v>
      </x:c>
      <x:c r="E5" s="33" t="n">
        <x:v>1</x:v>
      </x:c>
      <x:c r="F5" s="33" t="str">
        <x:v>個</x:v>
      </x:c>
      <x:c r="G5" s="41" t="n">
        <x:v>1</x:v>
      </x:c>
      <x:c r="H5" s="44" t="n">
        <x:v>580</x:v>
      </x:c>
      <x:c r="I5" s="44" t="n">
        <x:f>G5*H5</x:f>
        <x:v>580</x:v>
      </x:c>
      <x:c r="J5" s="34" t="str">
        <x:v>https://akizukidenshi.com/catalog/g/g112031/</x:v>
      </x:c>
    </x:row>
    <x:row r="6" ht="38" customHeight="1">
      <x:c r="A6" s="35" t="str">
        <x:v>主要部品</x:v>
      </x:c>
      <x:c r="B6" s="36" t="str">
        <x:v>Seeed Studio XIAO ESP32C3</x:v>
      </x:c>
      <x:c r="C6" s="36" t="str">
        <x:v>117454</x:v>
      </x:c>
      <x:c r="D6" s="36" t="str">
        <x:v>113991054</x:v>
      </x:c>
      <x:c r="E6" s="36" t="n">
        <x:v>1</x:v>
      </x:c>
      <x:c r="F6" s="36" t="str">
        <x:v>個</x:v>
      </x:c>
      <x:c r="G6" s="42" t="n">
        <x:v>1</x:v>
      </x:c>
      <x:c r="H6" s="45" t="n">
        <x:v>1080</x:v>
      </x:c>
      <x:c r="I6" s="45" t="n">
        <x:f>G6*H6</x:f>
        <x:v>1080</x:v>
      </x:c>
      <x:c r="J6" s="37" t="str">
        <x:v>https://akizukidenshi.com/catalog/g/g117454/</x:v>
      </x:c>
    </x:row>
    <x:row r="7" ht="38" customHeight="1">
      <x:c r="A7" s="35" t="str">
        <x:v>操作部</x:v>
      </x:c>
      <x:c r="B7" s="36" t="str">
        <x:v>2色LED付スイッチ付ロータリーエンコーダー（赤・青）ツマミ付セット</x:v>
      </x:c>
      <x:c r="C7" s="36" t="str">
        <x:v>105772</x:v>
      </x:c>
      <x:c r="D7" s="36" t="str">
        <x:v>EC12PLBRSDVF-D-25K-24-24C-31/0</x:v>
      </x:c>
      <x:c r="E7" s="36" t="n">
        <x:v>1</x:v>
      </x:c>
      <x:c r="F7" s="36" t="str">
        <x:v>セット</x:v>
      </x:c>
      <x:c r="G7" s="42" t="n">
        <x:v>1</x:v>
      </x:c>
      <x:c r="H7" s="45" t="n">
        <x:v>270</x:v>
      </x:c>
      <x:c r="I7" s="45" t="n">
        <x:f>G7*H7</x:f>
        <x:v>270</x:v>
      </x:c>
      <x:c r="J7" s="37" t="str">
        <x:v>https://akizukidenshi.com/catalog/g/g105772/</x:v>
      </x:c>
    </x:row>
    <x:row r="8" ht="38" customHeight="1">
      <x:c r="A8" s="35" t="str">
        <x:v>受動部品</x:v>
      </x:c>
      <x:c r="B8" s="36" t="str">
        <x:v>カーボン抵抗（炭素皮膜抵抗） 1/4W 1kΩ</x:v>
      </x:c>
      <x:c r="C8" s="36" t="str">
        <x:v>125102</x:v>
      </x:c>
      <x:c r="D8" s="36" t="str">
        <x:v>CF25J1KB／1袋100本入</x:v>
      </x:c>
      <x:c r="E8" s="36" t="n">
        <x:v>1</x:v>
      </x:c>
      <x:c r="F8" s="36" t="str">
        <x:v>袋（100本）</x:v>
      </x:c>
      <x:c r="G8" s="42" t="n">
        <x:v>1</x:v>
      </x:c>
      <x:c r="H8" s="45" t="n">
        <x:v>100</x:v>
      </x:c>
      <x:c r="I8" s="45" t="n">
        <x:f>G8*H8</x:f>
        <x:v>100</x:v>
      </x:c>
      <x:c r="J8" s="37" t="str">
        <x:v>https://akizukidenshi.com/catalog/g/g125102/</x:v>
      </x:c>
    </x:row>
    <x:row r="9" ht="38" customHeight="1">
      <x:c r="A9" s="35" t="str">
        <x:v>操作部</x:v>
      </x:c>
      <x:c r="B9" s="36" t="str">
        <x:v>マイクロスイッチ SS-10GL13</x:v>
      </x:c>
      <x:c r="C9" s="36" t="str">
        <x:v>114659</x:v>
      </x:c>
      <x:c r="D9" s="36" t="str">
        <x:v>SS-10GL13</x:v>
      </x:c>
      <x:c r="E9" s="36" t="n">
        <x:v>2</x:v>
      </x:c>
      <x:c r="F9" s="36" t="str">
        <x:v>個</x:v>
      </x:c>
      <x:c r="G9" s="42" t="n">
        <x:v>2</x:v>
      </x:c>
      <x:c r="H9" s="45" t="n">
        <x:v>160</x:v>
      </x:c>
      <x:c r="I9" s="45" t="n">
        <x:f>G9*H9</x:f>
        <x:v>320</x:v>
      </x:c>
      <x:c r="J9" s="37" t="str">
        <x:v>https://akizukidenshi.com/catalog/g/g114659/</x:v>
      </x:c>
    </x:row>
    <x:row r="10" ht="38" customHeight="1">
      <x:c r="A10" s="38" t="str">
        <x:v>音響</x:v>
      </x:c>
      <x:c r="B10" s="39" t="str">
        <x:v>電子ブザー 12mm UGCM1205XP</x:v>
      </x:c>
      <x:c r="C10" s="39" t="str">
        <x:v>109800</x:v>
      </x:c>
      <x:c r="D10" s="39" t="str">
        <x:v>UGCM1205XP</x:v>
      </x:c>
      <x:c r="E10" s="39" t="n">
        <x:v>1</x:v>
      </x:c>
      <x:c r="F10" s="39" t="str">
        <x:v>個</x:v>
      </x:c>
      <x:c r="G10" s="43" t="n">
        <x:v>1</x:v>
      </x:c>
      <x:c r="H10" s="46" t="n">
        <x:v>110</x:v>
      </x:c>
      <x:c r="I10" s="46" t="n">
        <x:f>G10*H10</x:f>
        <x:v>110</x:v>
      </x:c>
      <x:c r="J10" s="40" t="str">
        <x:v>https://akizukidenshi.com/catalog/g/g109800/</x:v>
      </x:c>
    </x:row>
    <x:row r="12">
      <x:c r="A12" s="55" t="str">
        <x:v>秋月電子 部品購入合計（税込・送料除く）</x:v>
      </x:c>
      <x:c r="B12" s="56"/>
      <x:c r="C12" s="56"/>
      <x:c r="D12" s="56"/>
      <x:c r="E12" s="56"/>
      <x:c r="F12" s="56"/>
      <x:c r="G12" s="56"/>
      <x:c r="H12" s="56"/>
      <x:c r="I12" s="58" t="n">
        <x:f>SUM(I5:I10)</x:f>
        <x:v>2460</x:v>
      </x:c>
    </x:row>
    <x:row r="14">
      <x:c r="A14" s="59" t="str">
        <x:v>PCB化メモ</x:v>
      </x:c>
      <x:c r="B14" s="60"/>
      <x:c r="C14" s="60"/>
      <x:c r="D14" s="60"/>
      <x:c r="E14" s="60"/>
      <x:c r="F14" s="60"/>
      <x:c r="G14" s="60"/>
      <x:c r="H14" s="60"/>
      <x:c r="I14" s="60"/>
      <x:c r="J14" s="61"/>
    </x:row>
    <x:row r="15" ht="28" customHeight="1">
      <x:c r="A15" s="64" t="str">
        <x:v>・ブレッドボードおよびジャンパ線は、最終版では使用しないため購入合計から除外。</x:v>
      </x:c>
      <x:c r="B15" s="64"/>
      <x:c r="C15" s="64"/>
      <x:c r="D15" s="64"/>
      <x:c r="E15" s="64"/>
      <x:c r="F15" s="64"/>
      <x:c r="G15" s="64"/>
      <x:c r="H15" s="64"/>
      <x:c r="I15" s="64"/>
      <x:c r="J15" s="64"/>
    </x:row>
    <x:row r="16" ht="28" customHeight="1">
      <x:c r="A16" s="64" t="str">
        <x:v>・PCB製造費は基板サイズ、枚数、レイヤー数、表面処理、送料で変動するため、見積もり確定後に別途追加。</x:v>
      </x:c>
      <x:c r="B16" s="64"/>
      <x:c r="C16" s="64"/>
      <x:c r="D16" s="64"/>
      <x:c r="E16" s="64"/>
      <x:c r="F16" s="64"/>
      <x:c r="G16" s="64"/>
      <x:c r="H16" s="64"/>
      <x:c r="I16" s="64"/>
      <x:c r="J16" s="64"/>
    </x:row>
    <x:row r="17" ht="28" customHeight="1">
      <x:c r="A17" s="64" t="str">
        <x:v>・XIAO ESP32C3、OLED、ロータリーエンコーダー、マイクロスイッチ、ブザー、抵抗はいずれもスルーホール／モジュール実装を想定。</x:v>
      </x:c>
      <x:c r="B17" s="64"/>
      <x:c r="C17" s="64"/>
      <x:c r="D17" s="64"/>
      <x:c r="E17" s="64"/>
      <x:c r="F17" s="64"/>
      <x:c r="G17" s="64"/>
      <x:c r="H17" s="64"/>
      <x:c r="I17" s="64"/>
      <x:c r="J17" s="64"/>
    </x:row>
    <x:row r="18" ht="28" customHeight="1">
      <x:c r="A18" s="64" t="str">
        <x:v>・抵抗は100本入りのため、実装は1本でも購入費には1袋分を計上。</x:v>
      </x:c>
      <x:c r="B18" s="64"/>
      <x:c r="C18" s="64"/>
      <x:c r="D18" s="64"/>
      <x:c r="E18" s="64"/>
      <x:c r="F18" s="64"/>
      <x:c r="G18" s="64"/>
      <x:c r="H18" s="64"/>
      <x:c r="I18" s="64"/>
      <x:c r="J18" s="64"/>
    </x:row>
    <x:row r="20" ht="26" customHeight="1">
      <x:c r="A20" s="67" t="str">
        <x:v>更新方法：購入数（G列）または単価（税込）（H列）を変更すると、小計と購入合計が自動で更新されます。</x:v>
      </x:c>
      <x:c r="B20" s="67"/>
      <x:c r="C20" s="67"/>
      <x:c r="D20" s="67"/>
      <x:c r="E20" s="67"/>
      <x:c r="F20" s="67"/>
      <x:c r="G20" s="67"/>
      <x:c r="H20" s="67"/>
      <x:c r="I20" s="67"/>
      <x:c r="J20" s="67"/>
    </x:row>
  </x:sheetData>
  <x:mergeCells>
    <x:mergeCell ref="A1:J1"/>
    <x:mergeCell ref="A2:J2"/>
    <x:mergeCell ref="A12:H12"/>
    <x:mergeCell ref="A14:J14"/>
    <x:mergeCell ref="A15:J15"/>
    <x:mergeCell ref="A16:J16"/>
    <x:mergeCell ref="A17:J17"/>
    <x:mergeCell ref="A18:J18"/>
    <x:mergeCell ref="A20:J20"/>
  </x:mergeCells>
  <x:pageMargins left="0.7" right="0.7" top="0.75" bottom="0.75" header="0.3" footer="0.3"/>
</x:worksheet>
</file>